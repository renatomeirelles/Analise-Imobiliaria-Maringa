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13_ncr:1_{D1EFACD7-7DA5-487E-99ED-6EE45FBACDD7}" xr6:coauthVersionLast="47" xr6:coauthVersionMax="47" xr10:uidLastSave="{00000000-0000-0000-0000-000000000000}"/>
  <bookViews>
    <workbookView xWindow="-120" yWindow="-120" windowWidth="20730" windowHeight="11160" xr2:uid="{CF9CA370-F354-4648-B612-A4B44A06737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<sst xmlns="http://schemas.openxmlformats.org/spreadsheetml/2006/main" count="8" uniqueCount="8">
  <si>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IPTU</t>
  </si>
  <si>
    <t>ITBI</t>
  </si>
  <si>
    <t>PIB Maringá</t>
  </si>
  <si>
    <t>IPCA</t>
  </si>
  <si>
    <t>INCC</t>
  </si>
  <si>
    <t>Tx de desemprego</t>
  </si>
  <si>
    <t>ANO</t>
  </si>
  <si>
    <t>Numero de ITBIs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</si>
</sst>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3B3B3A"/>
      <name val="Arial"/>
      <family val="2"/>
    </font>
    <font>
      <sz val="11"/>
      <name val="Calibri"/>
      <family val="2"/>
      <scheme val="minor"/>
    </font>
    <font>
      <sz val="6"/>
      <name val="Arial"/>
    </font>
    <font>
      <sz val="11"/>
      <color rgb="FFE3E3E3"/>
      <name val="Courier New"/>
      <family val="3"/>
    </font>
    <font>
      <sz val="11"/>
      <color theme="1"/>
      <name val="Calibri"/>
      <family val="2"/>
    </font>
    <font>
      <sz val="10"/>
      <color rgb="FF3B3B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2" fontId="2" fillId="0" borderId="0" xfId="1" applyNumberFormat="1" applyFont="1" applyAlignment="1">
      <alignment horizontal="right"/>
    </xf>
    <xf numFmtId="2" fontId="0" fillId="0" borderId="0" xfId="0" applyNumberFormat="1"/>
    <xf numFmtId="2" fontId="2" fillId="0" borderId="0" xfId="0" applyNumberFormat="1" applyFont="1"/>
    <xf numFmtId="0" fontId="4" fillId="0" borderId="0" xfId="0" applyFont="1"/>
    <xf numFmtId="0" fontId="0" fillId="0" borderId="0" xfId="0"/>
    <xf numFmtId="2" fontId="1" fillId="0" borderId="0" xfId="0" applyNumberFormat="1" applyFont="1"/>
    <xf numFmtId="0" fontId="5" fillId="0" borderId="0" xfId="0" applyFont="1"/>
    <xf numFmtId="0" fontId="0" fillId="0" borderId="0" xfId="0" applyFont="1"/>
    <xf numFmtId="10" fontId="0" fillId="0" borderId="0" xfId="0" applyNumberFormat="1"/>
    <xf numFmtId="0" fontId="0" fillId="2" borderId="0" xfId="0" applyFill="1"/>
    <xf numFmtId="2" fontId="6" fillId="0" borderId="0" xfId="0" applyNumberFormat="1" applyFont="1"/>
  </cellXfs>
  <cellStyles count="2">
    <cellStyle name="Normal" xfId="0" builtinId="0"/>
    <cellStyle name="Normal_mascarasDECNA finais" xfId="1" xr:uid="{355F9818-274C-49B8-9C84-AC0F545F6443}"/>
  </cellStyles>
  <dxfs count="4"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F152-34E4-446A-8A4A-08A2E245A609}">
  <dimension ref="A1:U20"/>
  <sheetViews>
    <sheetView tabSelected="1" topLeftCell="M1" workbookViewId="0">
      <selection activeCell="U16" sqref="U16:U17"/>
    </sheetView>
  </sheetViews>
  <sheetFormatPr defaultRowHeight="15" x14ac:dyDescent="0.25"/>
  <cols>
    <col min="1" max="1" width="19.5703125" bestFit="1" customWidth="1"/>
    <col min="2" max="9" width="15.42578125" bestFit="1" customWidth="1"/>
    <col min="10" max="15" width="16.42578125" bestFit="1" customWidth="1"/>
    <col min="16" max="17" width="15.42578125" bestFit="1" customWidth="1"/>
    <col min="18" max="21" width="16.7109375" bestFit="1" customWidth="1"/>
  </cols>
  <sheetData>
    <row r="1" spans="1:21" x14ac:dyDescent="0.25">
      <c r="A1" s="11" t="s">
        <v>6</v>
      </c>
      <c r="B1" s="11">
        <v>2006</v>
      </c>
      <c r="C1" s="11">
        <v>2007</v>
      </c>
      <c r="D1" s="11">
        <v>2008</v>
      </c>
      <c r="E1" s="11">
        <v>2009</v>
      </c>
      <c r="F1" s="11">
        <v>2010</v>
      </c>
      <c r="G1" s="11">
        <v>2011</v>
      </c>
      <c r="H1" s="11">
        <v>2012</v>
      </c>
      <c r="I1" s="11">
        <v>2013</v>
      </c>
      <c r="J1" s="11">
        <v>2014</v>
      </c>
      <c r="K1" s="11">
        <v>2015</v>
      </c>
      <c r="L1" s="11">
        <v>2016</v>
      </c>
      <c r="M1" s="11">
        <v>2017</v>
      </c>
      <c r="N1" s="11">
        <v>2018</v>
      </c>
      <c r="O1" s="11">
        <v>2019</v>
      </c>
      <c r="P1" s="11">
        <v>2020</v>
      </c>
      <c r="Q1" s="11">
        <v>2021</v>
      </c>
      <c r="R1" s="11">
        <v>2022</v>
      </c>
      <c r="S1" s="11">
        <v>2023</v>
      </c>
      <c r="T1" s="11">
        <v>2024</v>
      </c>
      <c r="U1" s="11">
        <v>2025</v>
      </c>
    </row>
    <row r="2" spans="1:21" x14ac:dyDescent="0.25">
      <c r="A2" t="s">
        <v>0</v>
      </c>
      <c r="B2" s="3">
        <v>33557892.329999998</v>
      </c>
      <c r="C2" s="3">
        <v>35520384.399999999</v>
      </c>
      <c r="D2" s="3">
        <v>39042590.270000003</v>
      </c>
      <c r="E2" s="3">
        <v>41413810.909999996</v>
      </c>
      <c r="F2" s="3">
        <v>50240266.210000001</v>
      </c>
      <c r="G2" s="3">
        <v>56197733.310000002</v>
      </c>
      <c r="H2" s="3">
        <v>76308237.459999993</v>
      </c>
      <c r="I2" s="3">
        <v>84064254.700000003</v>
      </c>
      <c r="J2" s="3">
        <v>112822495.40000001</v>
      </c>
      <c r="K2" s="3">
        <v>124700171.51000001</v>
      </c>
      <c r="L2" s="3">
        <v>139968362.34</v>
      </c>
      <c r="M2" s="3">
        <v>152423236.86000001</v>
      </c>
      <c r="N2" s="3">
        <v>171920660.16999999</v>
      </c>
      <c r="O2" s="3">
        <v>192451906.66</v>
      </c>
      <c r="P2" s="12">
        <v>183462051.53999999</v>
      </c>
      <c r="Q2" s="12">
        <v>238555826.22999999</v>
      </c>
      <c r="R2" s="7">
        <v>256444664.00999999</v>
      </c>
      <c r="S2" s="7">
        <v>278880696.91000003</v>
      </c>
      <c r="T2" s="7">
        <v>293399217.19</v>
      </c>
      <c r="U2" s="7">
        <v>314318147.70999998</v>
      </c>
    </row>
    <row r="3" spans="1:21" x14ac:dyDescent="0.25">
      <c r="A3" t="s">
        <v>1</v>
      </c>
      <c r="B3" s="3">
        <v>9322046.4900000002</v>
      </c>
      <c r="C3" s="3">
        <v>11988150.27</v>
      </c>
      <c r="D3" s="3">
        <v>15012614.91</v>
      </c>
      <c r="E3" s="3">
        <v>14987137.43</v>
      </c>
      <c r="F3" s="3">
        <v>20743708.289999999</v>
      </c>
      <c r="G3" s="3">
        <v>25126295.760000002</v>
      </c>
      <c r="H3" s="3">
        <v>32349413.25</v>
      </c>
      <c r="I3" s="3">
        <v>36830878.240000002</v>
      </c>
      <c r="J3" s="3">
        <v>43617199.18</v>
      </c>
      <c r="K3" s="3">
        <v>43075718.810000002</v>
      </c>
      <c r="L3" s="3">
        <v>41708609.810000002</v>
      </c>
      <c r="M3" s="3">
        <v>44630656.229999997</v>
      </c>
      <c r="N3" s="3">
        <v>57692277.710000001</v>
      </c>
      <c r="O3" s="3">
        <v>61165545.649999999</v>
      </c>
      <c r="P3" s="12">
        <v>70512781.170000002</v>
      </c>
      <c r="Q3" s="12">
        <v>102727031.70999999</v>
      </c>
      <c r="R3" s="7">
        <v>93594166.430000007</v>
      </c>
      <c r="S3" s="7">
        <v>98041558.620000005</v>
      </c>
      <c r="T3" s="7">
        <v>105539038.45999999</v>
      </c>
      <c r="U3" s="7">
        <v>125258903.25</v>
      </c>
    </row>
    <row r="4" spans="1:21" x14ac:dyDescent="0.25">
      <c r="A4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10030</v>
      </c>
      <c r="Q4" s="3">
        <v>12302</v>
      </c>
      <c r="R4" s="3">
        <v>10371</v>
      </c>
      <c r="S4" s="3">
        <v>9512</v>
      </c>
      <c r="T4" s="3">
        <v>9832</v>
      </c>
      <c r="U4" s="3">
        <v>11791</v>
      </c>
    </row>
    <row r="5" spans="1:21" x14ac:dyDescent="0.25">
      <c r="A5" s="1" t="s">
        <v>2</v>
      </c>
      <c r="B5" s="4"/>
      <c r="C5" s="2">
        <v>6113349.0389999999</v>
      </c>
      <c r="D5" s="2">
        <v>6160298.3380000005</v>
      </c>
      <c r="E5" s="2">
        <v>7280630.5559999999</v>
      </c>
      <c r="F5" s="2">
        <v>8564959.2639630232</v>
      </c>
      <c r="G5" s="2">
        <v>9882724.2244669944</v>
      </c>
      <c r="H5" s="3">
        <v>11390307</v>
      </c>
      <c r="I5" s="3">
        <v>13791017</v>
      </c>
      <c r="J5" s="3">
        <v>14567226</v>
      </c>
      <c r="K5" s="3">
        <v>15458008</v>
      </c>
      <c r="L5" s="3">
        <v>16121079</v>
      </c>
      <c r="M5" s="4">
        <v>16911587</v>
      </c>
      <c r="N5" s="4">
        <v>18532464</v>
      </c>
      <c r="O5" s="4">
        <v>19311240</v>
      </c>
      <c r="P5" s="4">
        <v>19992894</v>
      </c>
      <c r="Q5" s="4">
        <v>22655738</v>
      </c>
      <c r="R5" s="4">
        <v>26668372</v>
      </c>
      <c r="S5" s="4">
        <v>27817346</v>
      </c>
      <c r="T5" s="3"/>
      <c r="U5" s="3"/>
    </row>
    <row r="6" spans="1:21" x14ac:dyDescent="0.25">
      <c r="A6" t="s">
        <v>5</v>
      </c>
      <c r="B6" s="3"/>
      <c r="C6" s="3"/>
      <c r="D6" s="3"/>
      <c r="E6" s="3"/>
      <c r="F6" s="3"/>
      <c r="G6" s="3"/>
      <c r="H6" s="10">
        <v>7.3599999999999999E-2</v>
      </c>
      <c r="I6" s="10">
        <v>7.2583333333333305E-2</v>
      </c>
      <c r="J6" s="10">
        <v>6.8583333333333302E-2</v>
      </c>
      <c r="K6" s="10">
        <v>8.4000000000000005E-2</v>
      </c>
      <c r="L6" s="10">
        <v>0.113666666666667</v>
      </c>
      <c r="M6" s="10">
        <v>0.12875</v>
      </c>
      <c r="N6" s="10">
        <v>0.12366666666666699</v>
      </c>
      <c r="O6" s="10">
        <v>0.120333333333333</v>
      </c>
      <c r="P6" s="10">
        <v>0.13469999999999999</v>
      </c>
      <c r="Q6" s="10">
        <v>0.13500000000000001</v>
      </c>
      <c r="R6" s="10">
        <v>9.5083333333333298E-2</v>
      </c>
      <c r="S6" s="10">
        <v>8.0416666666666706E-2</v>
      </c>
      <c r="T6" s="10">
        <v>6.9250000000000006E-2</v>
      </c>
      <c r="U6" s="10">
        <v>5.9499999999999997E-2</v>
      </c>
    </row>
    <row r="7" spans="1:21" s="9" customFormat="1" x14ac:dyDescent="0.25">
      <c r="A7" s="8" t="s">
        <v>4</v>
      </c>
      <c r="B7" s="10">
        <v>5.04E-2</v>
      </c>
      <c r="C7" s="10">
        <v>6.1499999999999999E-2</v>
      </c>
      <c r="D7" s="10">
        <v>0.1186</v>
      </c>
      <c r="E7" s="10">
        <v>3.2500000000000001E-2</v>
      </c>
      <c r="F7" s="10">
        <v>7.7700000000000005E-2</v>
      </c>
      <c r="G7" s="10">
        <v>7.4800000000000005E-2</v>
      </c>
      <c r="H7" s="10">
        <v>7.1199999999999999E-2</v>
      </c>
      <c r="I7" s="10">
        <v>8.09E-2</v>
      </c>
      <c r="J7" s="10">
        <v>6.9400000000000003E-2</v>
      </c>
      <c r="K7" s="10">
        <v>7.4899999999999994E-2</v>
      </c>
      <c r="L7" s="10">
        <v>6.1100000000000002E-2</v>
      </c>
      <c r="M7" s="10">
        <v>4.2500000000000003E-2</v>
      </c>
      <c r="N7" s="10">
        <v>3.8300000000000001E-2</v>
      </c>
      <c r="O7" s="10">
        <v>4.1399999999999999E-2</v>
      </c>
      <c r="P7" s="10">
        <v>8.8099999999999998E-2</v>
      </c>
      <c r="Q7" s="10">
        <v>0.1384</v>
      </c>
      <c r="R7" s="10">
        <v>9.2700000000000005E-2</v>
      </c>
      <c r="S7" s="10">
        <v>3.49E-2</v>
      </c>
      <c r="T7" s="10">
        <v>6.54E-2</v>
      </c>
      <c r="U7" s="10">
        <v>5.9400000000000001E-2</v>
      </c>
    </row>
    <row r="8" spans="1:21" x14ac:dyDescent="0.25">
      <c r="A8" s="8" t="s">
        <v>3</v>
      </c>
      <c r="B8" s="10">
        <v>3.1399999999999997E-2</v>
      </c>
      <c r="C8" s="10">
        <v>4.4600000000000001E-2</v>
      </c>
      <c r="D8" s="10">
        <v>5.8999999999999997E-2</v>
      </c>
      <c r="E8" s="10">
        <v>4.3099999999999999E-2</v>
      </c>
      <c r="F8" s="10">
        <v>5.91E-2</v>
      </c>
      <c r="G8" s="10">
        <v>6.5000000000000002E-2</v>
      </c>
      <c r="H8" s="10">
        <v>5.8400000000000001E-2</v>
      </c>
      <c r="I8" s="10">
        <v>5.91E-2</v>
      </c>
      <c r="J8" s="10">
        <v>6.4100000000000004E-2</v>
      </c>
      <c r="K8" s="10">
        <v>0.1067</v>
      </c>
      <c r="L8" s="10">
        <v>6.2899999999999998E-2</v>
      </c>
      <c r="M8" s="10">
        <v>2.9499999999999998E-2</v>
      </c>
      <c r="N8" s="10">
        <v>3.7499999999999999E-2</v>
      </c>
      <c r="O8" s="10">
        <v>4.3099999999999999E-2</v>
      </c>
      <c r="P8" s="10">
        <v>4.5199999999999997E-2</v>
      </c>
      <c r="Q8" s="10">
        <v>0.10059999999999999</v>
      </c>
      <c r="R8" s="10">
        <v>5.7799999999999997E-2</v>
      </c>
      <c r="S8" s="10">
        <v>4.6199999999999998E-2</v>
      </c>
      <c r="T8" s="10">
        <v>4.8300000000000003E-2</v>
      </c>
      <c r="U8" s="10">
        <v>4.2599999999999999E-2</v>
      </c>
    </row>
    <row r="9" spans="1:21" x14ac:dyDescent="0.25">
      <c r="H9" s="6"/>
    </row>
    <row r="10" spans="1:21" x14ac:dyDescent="0.25">
      <c r="H10" s="6"/>
    </row>
    <row r="11" spans="1:21" x14ac:dyDescent="0.25">
      <c r="H11" s="6"/>
    </row>
    <row r="12" spans="1:21" x14ac:dyDescent="0.25">
      <c r="F12" s="5"/>
      <c r="H12" s="6"/>
    </row>
    <row r="13" spans="1:21" x14ac:dyDescent="0.25">
      <c r="H13" s="6"/>
    </row>
    <row r="14" spans="1:21" x14ac:dyDescent="0.25">
      <c r="H14" s="6"/>
    </row>
    <row r="15" spans="1:21" x14ac:dyDescent="0.25">
      <c r="H15" s="6"/>
    </row>
    <row r="16" spans="1:21" x14ac:dyDescent="0.25">
      <c r="H16" s="6"/>
    </row>
    <row r="17" spans="8:8" x14ac:dyDescent="0.25">
      <c r="H17" s="6"/>
    </row>
    <row r="18" spans="8:8" x14ac:dyDescent="0.25">
      <c r="H18" s="6"/>
    </row>
    <row r="19" spans="8:8" x14ac:dyDescent="0.25">
      <c r="H19" s="6"/>
    </row>
    <row r="20" spans="8:8" x14ac:dyDescent="0.25">
      <c r="H20" s="6"/>
    </row>
  </sheetData>
  <conditionalFormatting sqref="C5">
    <cfRule type="expression" dxfId="3" priority="13" stopIfTrue="1">
      <formula>VLOOKUP($L5,$N$15:$O$120,2,0)=1</formula>
    </cfRule>
  </conditionalFormatting>
  <conditionalFormatting sqref="D5">
    <cfRule type="expression" dxfId="2" priority="14" stopIfTrue="1">
      <formula>VLOOKUP($J5,$L$7:$M$105,2,0)=1</formula>
    </cfRule>
  </conditionalFormatting>
  <conditionalFormatting sqref="E5">
    <cfRule type="expression" dxfId="1" priority="15" stopIfTrue="1">
      <formula>VLOOKUP($H5,$J$7:$K$105,2,0)=1</formula>
    </cfRule>
  </conditionalFormatting>
  <conditionalFormatting sqref="F5:G5">
    <cfRule type="expression" dxfId="0" priority="16" stopIfTrue="1">
      <formula>VLOOKUP($H5,$J$6:$K$103,2,0)=1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Meirelles</dc:creator>
  <cp:lastModifiedBy>Renato Meirelles</cp:lastModifiedBy>
  <dcterms:created xsi:type="dcterms:W3CDTF">2026-06-14T21:59:22Z</dcterms:created>
  <dcterms:modified xsi:type="dcterms:W3CDTF">2026-06-16T13:56:18Z</dcterms:modified>
</cp:coreProperties>
</file>